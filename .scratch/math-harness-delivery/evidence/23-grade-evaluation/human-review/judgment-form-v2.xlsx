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说明" sheetId="1" state="visible" r:id="rId1"/>
    <sheet name="A严重度" sheetId="2" state="visible" r:id="rId2"/>
    <sheet name="B终稿评分" sheetId="3" state="visible" r:id="rId3"/>
    <sheet name="C发现核对" sheetId="4" state="visible" r:id="rId4"/>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Arial"/>
      <b val="1"/>
      <sz val="13"/>
    </font>
    <font>
      <name val="Arial"/>
      <sz val="10"/>
    </font>
    <font>
      <name val="Arial"/>
      <b val="1"/>
      <sz val="10"/>
    </font>
    <font>
      <name val="Arial"/>
      <i val="1"/>
      <color rgb="00808080"/>
      <sz val="10"/>
    </font>
  </fonts>
  <fills count="4">
    <fill>
      <patternFill/>
    </fill>
    <fill>
      <patternFill patternType="gray125"/>
    </fill>
    <fill>
      <patternFill patternType="solid">
        <fgColor rgb="00D9E2F3"/>
      </patternFill>
    </fill>
    <fill>
      <patternFill patternType="solid">
        <fgColor rgb="00FFF2CC"/>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12">
    <xf numFmtId="0" fontId="0" fillId="0" borderId="0" pivotButton="0" quotePrefix="0" xfId="0"/>
    <xf numFmtId="0" fontId="1" fillId="0" borderId="0" applyAlignment="1" pivotButton="0" quotePrefix="0" xfId="0">
      <alignment vertical="top" wrapText="1"/>
    </xf>
    <xf numFmtId="0" fontId="2" fillId="0" borderId="0" applyAlignment="1" pivotButton="0" quotePrefix="0" xfId="0">
      <alignment vertical="top" wrapText="1"/>
    </xf>
    <xf numFmtId="0" fontId="3" fillId="0" borderId="0" applyAlignment="1" pivotButton="0" quotePrefix="0" xfId="0">
      <alignment vertical="top" wrapText="1"/>
    </xf>
    <xf numFmtId="0" fontId="3" fillId="0" borderId="0" pivotButton="0" quotePrefix="0" xfId="0"/>
    <xf numFmtId="0" fontId="2" fillId="0" borderId="0" pivotButton="0" quotePrefix="0" xfId="0"/>
    <xf numFmtId="0" fontId="1" fillId="0" borderId="0" pivotButton="0" quotePrefix="0" xfId="0"/>
    <xf numFmtId="0" fontId="2" fillId="0" borderId="0" applyAlignment="1" pivotButton="0" quotePrefix="0" xfId="0">
      <alignment wrapText="1"/>
    </xf>
    <xf numFmtId="0" fontId="3" fillId="2" borderId="1" applyAlignment="1" pivotButton="0" quotePrefix="0" xfId="0">
      <alignment vertical="top" wrapText="1"/>
    </xf>
    <xf numFmtId="0" fontId="4" fillId="0" borderId="1" applyAlignment="1" pivotButton="0" quotePrefix="0" xfId="0">
      <alignment vertical="top" wrapText="1"/>
    </xf>
    <xf numFmtId="0" fontId="2" fillId="0" borderId="1" applyAlignment="1" pivotButton="0" quotePrefix="0" xfId="0">
      <alignment vertical="top" wrapText="1"/>
    </xf>
    <xf numFmtId="0" fontId="2" fillId="3"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27"/>
  <sheetViews>
    <sheetView workbookViewId="0">
      <selection activeCell="A1" sqref="A1"/>
    </sheetView>
  </sheetViews>
  <sheetFormatPr baseColWidth="8" defaultRowHeight="15"/>
  <cols>
    <col width="110" customWidth="1" min="1" max="1"/>
    <col width="8" customWidth="1" min="2" max="2"/>
    <col width="8" customWidth="1" min="3" max="3"/>
  </cols>
  <sheetData>
    <row r="1">
      <c r="A1" s="1" t="inlineStr">
        <is>
          <t>年级课程检查器：人工判定表</t>
        </is>
      </c>
    </row>
    <row r="2">
      <c r="A2" s="2" t="inlineStr">
        <is>
          <t>用途：校准模型评阅与专项检查的严重度判断、维度评分和发现准确性。你的判断是基准，不需要参考任何模型意见。</t>
        </is>
      </c>
    </row>
    <row r="3">
      <c r="A3" s="2" t="inlineStr"/>
    </row>
    <row r="4">
      <c r="A4" s="3" t="inlineStr">
        <is>
          <t>怎样填写</t>
        </is>
      </c>
    </row>
    <row r="5">
      <c r="A5" s="2" t="inlineStr">
        <is>
          <t>1. 只填浅黄色格子；可从下拉列表选择，“判断依据”写一两句理由，引用原文位置更好。第 4 行是示例，不计入。</t>
        </is>
      </c>
    </row>
    <row r="6" ht="30" customHeight="1">
      <c r="A6" s="2" t="inlineStr">
        <is>
          <t>2. 顺序建议：先通读终稿阅读版 curriculum.html（约 40 分钟），做 B 页；再做 A 页和 C 页。合计约 1.5–2 小时。</t>
        </is>
      </c>
    </row>
    <row r="7">
      <c r="A7" s="2" t="inlineStr">
        <is>
          <t>3. 拿不准时仍请给出最接近的选项，并把“把握”选为“低”；确实无法判断时，在“判断依据”写明缺什么。</t>
        </is>
      </c>
    </row>
    <row r="8">
      <c r="A8" s="2" t="inlineStr">
        <is>
          <t>4. 表中不标明哪条意见来自哪个模型，也不给出样本设计者预设的答案，请按原文独立判断。</t>
        </is>
      </c>
    </row>
    <row r="9">
      <c r="A9" s="2" t="inlineStr"/>
    </row>
    <row r="10">
      <c r="A10" s="3" t="inlineStr">
        <is>
          <t>严重度定义（依据评估协议）</t>
        </is>
      </c>
    </row>
    <row r="11" ht="30" customHeight="1">
      <c r="A11" s="2" t="inlineStr">
        <is>
          <t>重大失败：经原文确认属于以下任一类——必需目标遗漏或实质误读；关键数学错误或导致方案不可执行的依赖矛盾；核心时间资源安排不可行；虚构方案成立所依赖的数据、来源、学生掌握或教学验证。合理的顺序差异、尚未生成逐课材料、语言风格差异不算。</t>
        </is>
      </c>
    </row>
    <row r="12">
      <c r="A12" s="2" t="inlineStr">
        <is>
          <t>关键缺口：缺少会改变目标责任、必要依赖、学习机会、评价用途或核心可行性的联系，但不至于使全年进程整体不可执行。</t>
        </is>
      </c>
    </row>
    <row r="13">
      <c r="A13" s="2" t="inlineStr">
        <is>
          <t>局部问题：有安排，但存在不改变年度决定的局部不足或表述不精确。</t>
        </is>
      </c>
    </row>
    <row r="14">
      <c r="A14" s="2" t="inlineStr">
        <is>
          <t>不构成问题 / 不成立：原文没有该问题，或所指情况合理。</t>
        </is>
      </c>
    </row>
    <row r="15">
      <c r="A15" s="2" t="inlineStr"/>
    </row>
    <row r="16">
      <c r="A16" s="3" t="inlineStr">
        <is>
          <t>评分锚点（B 页）</t>
        </is>
      </c>
    </row>
    <row r="17" ht="30" customHeight="1">
      <c r="A17" s="2" t="inlineStr">
        <is>
          <t>0–4 分；各维 0、2、4 分锚点见 B 页。1 分：零散提及、缺乏支撑；说明相邻锚点满足与缺失部分。3 分：达到本维要求，有具体证据且主要联系一致；说明距离4分的差异。</t>
        </is>
      </c>
    </row>
    <row r="18" ht="45" customHeight="1">
      <c r="A18" s="2" t="inlineStr">
        <is>
          <t>维度收敛：先逐对象核查，再按锚点形成维度分，不按对象数量平均；已确认重大失败对应维度为0，同时触发重大问题标记；仍有关键联系缺口时最高2分；主要对象仅提及时最高1分；应查范围核完、无关键缺口、主要联系有具体一致证据，列明局部不足；具体4分锚点在完整范围成立，有适用的组织和调整依据；补查；无法观察则标证据不足，不用其余对象补齐。确实无法判断时选“未定”。</t>
        </is>
      </c>
    </row>
    <row r="19">
      <c r="A19" s="2" t="inlineStr"/>
    </row>
    <row r="20">
      <c r="A20" s="3" t="inlineStr">
        <is>
          <t>随表材料</t>
        </is>
      </c>
    </row>
    <row r="21" ht="30" customHeight="1">
      <c r="A21" s="2" t="inlineStr">
        <is>
          <t>curriculum.html：15 终稿的教师阅读版（与被评 JSON 同源）。H2 开头的样本是终稿的变体，其中有的含问题、有的没有；判断以表中摘录和引文为准。</t>
        </is>
      </c>
    </row>
    <row r="22">
      <c r="A22" s="2" t="inlineStr"/>
    </row>
    <row r="23">
      <c r="A23" s="3" t="inlineStr">
        <is>
          <t>完成进度（自动计算）</t>
        </is>
      </c>
    </row>
    <row r="24">
      <c r="A24" s="4" t="inlineStr">
        <is>
          <t>部分</t>
        </is>
      </c>
      <c r="B24" s="4" t="inlineStr">
        <is>
          <t>已填</t>
        </is>
      </c>
      <c r="C24" s="4" t="inlineStr">
        <is>
          <t>总数</t>
        </is>
      </c>
    </row>
    <row r="25">
      <c r="A25" s="5" t="inlineStr">
        <is>
          <t>A 严重度</t>
        </is>
      </c>
      <c r="B25" s="5">
        <f>COUNTA('A严重度'!F5:F21)</f>
        <v/>
      </c>
      <c r="C25" s="5" t="n">
        <v>17</v>
      </c>
    </row>
    <row r="26">
      <c r="A26" s="5" t="inlineStr">
        <is>
          <t>B 终稿评分</t>
        </is>
      </c>
      <c r="B26" s="5">
        <f>COUNTA('B终稿评分'!F5:F12)</f>
        <v/>
      </c>
      <c r="C26" s="5" t="n">
        <v>8</v>
      </c>
    </row>
    <row r="27">
      <c r="A27" s="5" t="inlineStr">
        <is>
          <t>C 发现核对</t>
        </is>
      </c>
      <c r="B27" s="5">
        <f>COUNTA('C发现核对'!F5:F29)</f>
        <v/>
      </c>
      <c r="C27" s="5" t="n">
        <v>25</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21"/>
  <sheetViews>
    <sheetView workbookViewId="0">
      <pane xSplit="2" ySplit="3" topLeftCell="C4" activePane="bottomRight" state="frozen"/>
      <selection pane="topRight"/>
      <selection pane="bottomLeft"/>
      <selection pane="bottomRight" activeCell="A1" sqref="A1"/>
    </sheetView>
  </sheetViews>
  <sheetFormatPr baseColWidth="8" defaultRowHeight="15"/>
  <cols>
    <col width="7" customWidth="1" min="1" max="1"/>
    <col width="9" customWidth="1" min="2" max="2"/>
    <col width="26" customWidth="1" min="3" max="3"/>
    <col width="70" customWidth="1" min="4" max="4"/>
    <col width="12" customWidth="1" min="5" max="5"/>
    <col width="12" customWidth="1" min="6" max="6"/>
    <col width="40" customWidth="1" min="7" max="7"/>
    <col width="8" customWidth="1" min="8" max="8"/>
  </cols>
  <sheetData>
    <row r="1">
      <c r="A1" s="6" t="inlineStr">
        <is>
          <t>A　严重度判定（17 项）</t>
        </is>
      </c>
    </row>
    <row r="2" ht="30" customHeight="1">
      <c r="A2" s="7" t="inlineStr">
        <is>
          <t>逐项阅读“原文与事实摘录”，判断“核对点”处是否存在问题；若存在，按“说明”页的定义给出严重度。</t>
        </is>
      </c>
    </row>
    <row r="3">
      <c r="A3" s="8" t="inlineStr">
        <is>
          <t>编号</t>
        </is>
      </c>
      <c r="B3" s="8" t="inlineStr">
        <is>
          <t>样本</t>
        </is>
      </c>
      <c r="C3" s="8" t="inlineStr">
        <is>
          <t>核对点</t>
        </is>
      </c>
      <c r="D3" s="8" t="inlineStr">
        <is>
          <t>原文与事实摘录</t>
        </is>
      </c>
      <c r="E3" s="8" t="inlineStr">
        <is>
          <t>是否存在问题</t>
        </is>
      </c>
      <c r="F3" s="8" t="inlineStr">
        <is>
          <t>严重度</t>
        </is>
      </c>
      <c r="G3" s="8" t="inlineStr">
        <is>
          <t>判断依据</t>
        </is>
      </c>
      <c r="H3" s="8" t="inlineStr">
        <is>
          <t>把握</t>
        </is>
      </c>
    </row>
    <row r="4">
      <c r="A4" s="9" t="inlineStr">
        <is>
          <t>示例</t>
        </is>
      </c>
      <c r="B4" s="9" t="inlineStr">
        <is>
          <t>H2-00</t>
        </is>
      </c>
      <c r="C4" s="9" t="inlineStr">
        <is>
          <t>单元 X 的某段表述</t>
        </is>
      </c>
      <c r="D4" s="9" t="inlineStr">
        <is>
          <t>（摘录）</t>
        </is>
      </c>
      <c r="E4" s="9" t="inlineStr">
        <is>
          <t>存在</t>
        </is>
      </c>
      <c r="F4" s="9" t="inlineStr">
        <is>
          <t>关键缺口</t>
        </is>
      </c>
      <c r="G4" s="9" t="inlineStr">
        <is>
          <t>摘录中……与标准要求……不符，会改变……</t>
        </is>
      </c>
      <c r="H4" s="9" t="inlineStr">
        <is>
          <t>中</t>
        </is>
      </c>
    </row>
    <row r="5" ht="56" customHeight="1">
      <c r="A5" s="10" t="inlineStr">
        <is>
          <t>A01</t>
        </is>
      </c>
      <c r="B5" s="10" t="inlineStr">
        <is>
          <t>H2-10</t>
        </is>
      </c>
      <c r="C5" s="10" t="inlineStr">
        <is>
          <t>8.F.B.4 在全年叙述中的后续应用与目标分配</t>
        </is>
      </c>
      <c r="D5" s="10" t="inlineStr">
        <is>
          <t>【8.F.B.4 的分配】仅 1 条：单元 3（函数）讲授。
【全年叙述】最后在 Unit 8，学生运用全年所学的线性模型（8.F.B.4 进阶应用）对双变量合成数据进行经验拟合与预测分析……
【设计推断】8.F.B.4 作为全年初中函数建模的核心……后启 Unit 8 的双变量统计散点图经验拟合……</t>
        </is>
      </c>
      <c r="E5" s="11" t="n"/>
      <c r="F5" s="11" t="n"/>
      <c r="G5" s="11" t="n"/>
      <c r="H5" s="11" t="n"/>
    </row>
    <row r="6" ht="45" customHeight="1">
      <c r="A6" s="10" t="inlineStr">
        <is>
          <t>A02</t>
        </is>
      </c>
      <c r="B6" s="10" t="inlineStr">
        <is>
          <t>H2-02</t>
        </is>
      </c>
      <c r="C6" s="10" t="inlineStr">
        <is>
          <t>指数单元的编号与全文各处引用是否一致</t>
        </is>
      </c>
      <c r="D6" s="10" t="inlineStr">
        <is>
          <t>【指数单元编号】unit_6_integer_exponents
【引用该编号的位置】目标 8.EE.A.1（讲授、应用）、8.EE.A.3、8.EE.A.4 的分配；数学实践 MP5、MP7 的承担单元。</t>
        </is>
      </c>
      <c r="E6" s="11" t="n"/>
      <c r="F6" s="11" t="n"/>
      <c r="G6" s="11" t="n"/>
      <c r="H6" s="11" t="n"/>
    </row>
    <row r="7" ht="56" customHeight="1">
      <c r="A7" s="10" t="inlineStr">
        <is>
          <t>A03</t>
        </is>
      </c>
      <c r="B7" s="10" t="inlineStr">
        <is>
          <t>H2-07</t>
        </is>
      </c>
      <c r="C7" s="10" t="inlineStr">
        <is>
          <t>各单元课时、机动课时与学年总课时</t>
        </is>
      </c>
      <c r="D7" s="10" t="inlineStr">
        <is>
          <t>【学校条件】全年 180 节，其中机动 20 节。
【各单元课时】22、22、22、18、26、36（指数单元）、14、20，合计 180。
【机动计划】全年设置 20 节机动课时……不计入各单元常规教学课时。
【全年叙述】全课程安排 160 节常规课时与 20 节依据诊断干预的机动课时。</t>
        </is>
      </c>
      <c r="E7" s="11" t="n"/>
      <c r="F7" s="11" t="n"/>
      <c r="G7" s="11" t="n"/>
      <c r="H7" s="11" t="n"/>
    </row>
    <row r="8" ht="70" customHeight="1">
      <c r="A8" s="10" t="inlineStr">
        <is>
          <t>A04</t>
        </is>
      </c>
      <c r="B8" s="10" t="inlineStr">
        <is>
          <t>H2-08</t>
        </is>
      </c>
      <c r="C8" s="10" t="inlineStr">
        <is>
          <t>8.NS.A.2 在体积单元的回访安排</t>
        </is>
      </c>
      <c r="D8" s="10" t="inlineStr">
        <is>
          <t>【8.NS.A.2 的分配】
① 单元 5（实数与勾股）讲授：通过逐步夹逼法，对无理数进行有理数小数估算，在数轴上定位……
② 单元 7（体积）回访：在圆柱、圆锥与球体体积计算中，分别用 3.14 与 3.1416 作为 π 的有理近似求值，比较两种结果的差异，并估计含 π 表达式的大小范围。
证据：核查学生能否说明不同有理近似带来的结果差异，并判断保留 π 的精确形式与取近似值各自适用的场合。</t>
        </is>
      </c>
      <c r="E8" s="11" t="n"/>
      <c r="F8" s="11" t="n"/>
      <c r="G8" s="11" t="n"/>
      <c r="H8" s="11" t="n"/>
    </row>
    <row r="9" ht="45" customHeight="1">
      <c r="A9" s="10" t="inlineStr">
        <is>
          <t>A05</t>
        </is>
      </c>
      <c r="B9" s="10" t="inlineStr">
        <is>
          <t>H2-04</t>
        </is>
      </c>
      <c r="C9" s="10" t="inlineStr">
        <is>
          <t>单元 4（二元一次方程组）叙述中，两条直线的位置关系与方程组解的对应</t>
        </is>
      </c>
      <c r="D9" s="10" t="inlineStr">
        <is>
          <t>【单元 4 叙述摘录】……单元首先建立解即为两直线几何交点的直观，随后系统学习代入消元法与加减消元法，并借助直线重合的几何形态理解方程组无解、借助直线平行的几何形态理解方程组无穷多解的代数本质，最后在方案抉择与成本平衡情境中应用建模。</t>
        </is>
      </c>
      <c r="E9" s="11" t="n"/>
      <c r="F9" s="11" t="n"/>
      <c r="G9" s="11" t="n"/>
      <c r="H9" s="11" t="n"/>
    </row>
    <row r="10" ht="45" customHeight="1">
      <c r="A10" s="10" t="inlineStr">
        <is>
          <t>A06</t>
        </is>
      </c>
      <c r="B10" s="10" t="inlineStr">
        <is>
          <t>H2-12</t>
        </is>
      </c>
      <c r="C10" s="10" t="inlineStr">
        <is>
          <t>坐标距离探查的设计结论所依据的事实</t>
        </is>
      </c>
      <c r="D10" s="10" t="inlineStr">
        <is>
          <t>【探查 task_3 设计结论摘录】……在本校两个八年级班级共 56 名学生的课内试教中，49 人独立完成了直角顶点定位与距离计算，表明学生已掌握该方法，Unit 5 前无需再安排相应的进入诊断。
【学校条件】无班级诊断、个人掌握度或已确认支持记录。</t>
        </is>
      </c>
      <c r="E10" s="11" t="n"/>
      <c r="F10" s="11" t="n"/>
      <c r="G10" s="11" t="n"/>
      <c r="H10" s="11" t="n"/>
    </row>
    <row r="11" ht="70" customHeight="1">
      <c r="A11" s="10" t="inlineStr">
        <is>
          <t>A07</t>
        </is>
      </c>
      <c r="B11" s="10" t="inlineStr">
        <is>
          <t>H2-05</t>
        </is>
      </c>
      <c r="C11" s="10" t="inlineStr">
        <is>
          <t>单元的教学顺序与各单元声明的先备关系</t>
        </is>
      </c>
      <c r="D11" s="10" t="inlineStr">
        <is>
          <t>【教学顺序（按排列）】1. 线性方程与斜率（unit_2）→ 2. 几何变换与相似（unit_1）→ 3. 函数 → 4. 方程组 → 5. 实数与勾股 → 6. 指数 → 7. 体积 → 8. 双变量统计
【unit_2 的先备单元】unit_1_geom_transform
【unit_2 叙述摘录】本单元承接 Unit 1 的相似三角形理论，在平面直角坐标系中构造‘斜率三角形’，严密证明非垂直直线上任意两不同点的变化率恒定……</t>
        </is>
      </c>
      <c r="E11" s="11" t="n"/>
      <c r="F11" s="11" t="n"/>
      <c r="G11" s="11" t="n"/>
      <c r="H11" s="11" t="n"/>
    </row>
    <row r="12" ht="70" customHeight="1">
      <c r="A12" s="10" t="inlineStr">
        <is>
          <t>A08</t>
        </is>
      </c>
      <c r="B12" s="10" t="inlineStr">
        <is>
          <t>H2-09</t>
        </is>
      </c>
      <c r="C12" s="10" t="inlineStr">
        <is>
          <t>单元 7（体积）的评价方式与学校条件</t>
        </is>
      </c>
      <c r="D12" s="10" t="inlineStr">
        <is>
          <t>【单元 7 评价安排】学生课后在家使用量杯和水完成等底等高圆锥与圆柱的注水对比实验，并用手机录制实验视频提交，作为评估体积公式几何关系的主要依据；课内随堂练习（利用普通计算器）评估多步公式代入与根号近似计算；单元末闭卷测试……所有必需评价均在课内完成。
【学校条件】资源：纸笔、直尺、方格纸、黑白打印、教师投影、普通计算器。不假定学生有联网设备；必要学习与评价在课内，课后练习可选。</t>
        </is>
      </c>
      <c r="E12" s="11" t="n"/>
      <c r="F12" s="11" t="n"/>
      <c r="G12" s="11" t="n"/>
      <c r="H12" s="11" t="n"/>
    </row>
    <row r="13" ht="45" customHeight="1">
      <c r="A13" s="10" t="inlineStr">
        <is>
          <t>A09</t>
        </is>
      </c>
      <c r="B13" s="10" t="inlineStr">
        <is>
          <t>H2-13</t>
        </is>
      </c>
      <c r="C13" s="10" t="inlineStr">
        <is>
          <t>单元 8 表现性评价的材料安排与学校条件</t>
        </is>
      </c>
      <c r="D13" s="10" t="inlineStr">
        <is>
          <t>【单元 8 评价安排】课内散点图描点与趋势线绘制表现性评价（方格纸不足时改用黑白打印的带刻度坐标网格学案，评价要求不变）；以课内双变量统计分析报告进行个人或同伴评估；单元末闭卷测试……
【学校条件】资源：纸笔、直尺、方格纸、黑白打印、教师投影、普通计算器。</t>
        </is>
      </c>
      <c r="E13" s="11" t="n"/>
      <c r="F13" s="11" t="n"/>
      <c r="G13" s="11" t="n"/>
      <c r="H13" s="11" t="n"/>
    </row>
    <row r="14" ht="70" customHeight="1">
      <c r="A14" s="10" t="inlineStr">
        <is>
          <t>A10</t>
        </is>
      </c>
      <c r="B14" s="10" t="inlineStr">
        <is>
          <t>H2-14</t>
        </is>
      </c>
      <c r="C14" s="10" t="inlineStr">
        <is>
          <t>焦点单元与交接对象是否一致</t>
        </is>
      </c>
      <c r="D14" s="10" t="inlineStr">
        <is>
          <t>【请求】提供围绕 8.F.B.4 的实际目标单元交接，但不预设单元编号。
【focus_unit_id】unit_4_linear_systems（二元一次方程组）
【交接说明开头】【8.F.B.4 核心目标单元（Unit 3: 函数概念与线性函数建模）交接指引】……8.F.B.4 在本单元承担最为核心的明确讲授（teach）职责……
【8.F.B.4 的分配】单元 3 讲授、单元 8 应用；方程组单元没有 8.F.B.4 的分配。</t>
        </is>
      </c>
      <c r="E14" s="11" t="n"/>
      <c r="F14" s="11" t="n"/>
      <c r="G14" s="11" t="n"/>
      <c r="H14" s="11" t="n"/>
    </row>
    <row r="15" ht="140" customHeight="1">
      <c r="A15" s="10" t="inlineStr">
        <is>
          <t>A11</t>
        </is>
      </c>
      <c r="B15" s="10" t="inlineStr">
        <is>
          <t>H2-01</t>
        </is>
      </c>
      <c r="C15" s="10" t="inlineStr">
        <is>
          <t>8.F.B.5 在全年中的学习机会与达成证据，是否覆盖该标准的全部要求</t>
        </is>
      </c>
      <c r="D15" s="10" t="inlineStr">
        <is>
          <t>【标准 8.F.B.5】Describe qualitatively the functional relationship between two quantities by analyzing a graph (e.g., where the function is increasing or decreasing, linear or nonlinear). Sketch a graph that exhibits the qualitative features of a function that has been described verbally.
【候选中 8.F.B.5 的全部分配】仅 1 条，单元 3（函数）讲授：
学习机会：在函数图象上选取两个不同点计算平均变化率，依据差商的正负判断函数在指定区间内的增减，并用计算结果比较两段折线的倾斜程度。
达成证据：检查学生能否从给定折线图中读出两点坐标、准确计算差商，并依据差商的正负与大小写出增减结论。
（全文其他位置没有 8.F.B.5 的安排。）</t>
        </is>
      </c>
      <c r="E15" s="11" t="n"/>
      <c r="F15" s="11" t="n"/>
      <c r="G15" s="11" t="n"/>
      <c r="H15" s="11" t="n"/>
    </row>
    <row r="16" ht="45" customHeight="1">
      <c r="A16" s="10" t="inlineStr">
        <is>
          <t>A12</t>
        </is>
      </c>
      <c r="B16" s="10" t="inlineStr">
        <is>
          <t>H2-03</t>
        </is>
      </c>
      <c r="C16" s="10" t="inlineStr">
        <is>
          <t>全年规划对八项数学实践（MP1–MP8）的安排</t>
        </is>
      </c>
      <c r="D16" s="10" t="inlineStr">
        <is>
          <t>【候选列出的数学实践】MP1、MP2、MP3、MP4、MP5、MP6、MP8，各有承担单元、学生行为与观察证据。
（候选中没有 MP7 的条目；请求要求说明目标与数学实践的实际学习机会。）</t>
        </is>
      </c>
      <c r="E16" s="11" t="n"/>
      <c r="F16" s="11" t="n"/>
      <c r="G16" s="11" t="n"/>
      <c r="H16" s="11" t="n"/>
    </row>
    <row r="17" ht="70" customHeight="1">
      <c r="A17" s="10" t="inlineStr">
        <is>
          <t>A13</t>
        </is>
      </c>
      <c r="B17" s="10" t="inlineStr">
        <is>
          <t>H2-06</t>
        </is>
      </c>
      <c r="C17" s="10" t="inlineStr">
        <is>
          <t>8.SP.A.4（双向列联表）的评价安排与学习机会的先后</t>
        </is>
      </c>
      <c r="D17" s="10" t="inlineStr">
        <is>
          <t>【教学顺序】单元 1–8 按原序；方程组为单元 4（第一学期末），双变量统计为单元 8（第二学期末）。
【8.SP.A.4 的分配】
① 单元 4 评价：在第一学期期末的方程组单元测试中加入双向列联表题组，要求学生由频数表计算行、列相对频率并判断两个分类变量是否相关。
② 单元 8 讲授：探究双变量分类数据，编制并解读双向列联表……</t>
        </is>
      </c>
      <c r="E17" s="11" t="n"/>
      <c r="F17" s="11" t="n"/>
      <c r="G17" s="11" t="n"/>
      <c r="H17" s="11" t="n"/>
    </row>
    <row r="18" ht="70" customHeight="1">
      <c r="A18" s="10" t="inlineStr">
        <is>
          <t>A14</t>
        </is>
      </c>
      <c r="B18" s="10" t="inlineStr">
        <is>
          <t>H2-11</t>
        </is>
      </c>
      <c r="C18" s="10" t="inlineStr">
        <is>
          <t>指数单元与体积单元的先后与依赖</t>
        </is>
      </c>
      <c r="D18" s="10" t="inlineStr">
        <is>
          <t>【教学顺序】单元一 → 单元二 → 单元三 → 单元四 → 单元五 → 单元七（体积）→ 单元六（指数）→ 单元八
【先备单元】体积单元：实数与勾股单元；指数单元：无。
【标题】仍为“单元六：整数指数幂与科学记数法”“单元七：几何测量：圆柱、圆锥与球体的体积”。
【全年叙述】……Unit 6 拓展整数指数运算与科学记数法……；Unit 7 将代数开方运算应用于圆柱、圆锥与球体的三维立体体积问题……</t>
        </is>
      </c>
      <c r="E18" s="11" t="n"/>
      <c r="F18" s="11" t="n"/>
      <c r="G18" s="11" t="n"/>
      <c r="H18" s="11" t="n"/>
    </row>
    <row r="19" ht="45" customHeight="1">
      <c r="A19" s="10" t="inlineStr">
        <is>
          <t>A15</t>
        </is>
      </c>
      <c r="B19" s="10" t="inlineStr">
        <is>
          <t>终稿</t>
        </is>
      </c>
      <c r="C19" s="10" t="inlineStr">
        <is>
          <t>交接说明中 8.F.B.4 在单元 4 的应用与目标分配</t>
        </is>
      </c>
      <c r="D19" s="10" t="inlineStr">
        <is>
          <t>【交接说明摘录】本单元建构的 8.F.B.4 建模技能将在 Unit 4（二元一次方程组的交点平衡状态）中被应用，并在 Unit 8（双变量统计）中作为散点图经验拟合直线的分析工具（8.SP.A.3）实施迁移应用。
【8.F.B.4 的分配】单元 3 讲授、单元 8 应用；单元 4 没有 8.F.B.4 的分配。</t>
        </is>
      </c>
      <c r="E19" s="11" t="n"/>
      <c r="F19" s="11" t="n"/>
      <c r="G19" s="11" t="n"/>
      <c r="H19" s="11" t="n"/>
    </row>
    <row r="20" ht="84" customHeight="1">
      <c r="A20" s="10" t="inlineStr">
        <is>
          <t>A16</t>
        </is>
      </c>
      <c r="B20" s="10" t="inlineStr">
        <is>
          <t>终稿</t>
        </is>
      </c>
      <c r="C20" s="10" t="inlineStr">
        <is>
          <t>8.F.A.1 学习机会中对函数图象的表述</t>
        </is>
      </c>
      <c r="D20" s="10" t="inlineStr">
        <is>
          <t>【标准 8.F.A.1】Understand that a function is a rule that assigns to each input exactly one output. The graph of a function is the set of ordered pairs consisting of an input and the corresponding output.
【候选学习机会】通过自动售票计价、输入输出数值对应等实例，建立函数的统一定义：每个输入值对应唯一确定输出值的规则；理解图象是所有有序实数对 $(x, y)$ 的集合。</t>
        </is>
      </c>
      <c r="E20" s="11" t="n"/>
      <c r="F20" s="11" t="n"/>
      <c r="G20" s="11" t="n"/>
      <c r="H20" s="11" t="n"/>
    </row>
    <row r="21" ht="45" customHeight="1">
      <c r="A21" s="10" t="inlineStr">
        <is>
          <t>A17</t>
        </is>
      </c>
      <c r="B21" s="10" t="inlineStr">
        <is>
          <t>终稿</t>
        </is>
      </c>
      <c r="C21" s="10" t="inlineStr">
        <is>
          <t>单元 5 叙述中勾股定理及其逆定理的证明方式</t>
        </is>
      </c>
      <c r="D21" s="10" t="inlineStr">
        <is>
          <t>【单元 5 叙述摘录】……随后通过面积割补法证明勾股定理及其逆定理，熟练求解 x^2=p 与 x^3=p，并将勾股定理推广应用于二维平面……</t>
        </is>
      </c>
      <c r="E21" s="11" t="n"/>
      <c r="F21" s="11" t="n"/>
      <c r="G21" s="11" t="n"/>
      <c r="H21" s="11" t="n"/>
    </row>
  </sheetData>
  <mergeCells count="1">
    <mergeCell ref="A2:H2"/>
  </mergeCells>
  <dataValidations count="3">
    <dataValidation sqref="E5:E21" showDropDown="0" showInputMessage="0" showErrorMessage="0" allowBlank="1" type="list">
      <formula1>"存在,部分存在,不存在"</formula1>
    </dataValidation>
    <dataValidation sqref="F5:F21" showDropDown="0" showInputMessage="0" showErrorMessage="0" allowBlank="1" type="list">
      <formula1>"重大失败,关键缺口,局部问题,不构成问题"</formula1>
    </dataValidation>
    <dataValidation sqref="H5:H21" showDropDown="0" showInputMessage="0" showErrorMessage="0" allowBlank="1" type="list">
      <formula1>"高,中,低"</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I12"/>
  <sheetViews>
    <sheetView workbookViewId="0">
      <pane xSplit="2" ySplit="3" topLeftCell="C4" activePane="bottomRight" state="frozen"/>
      <selection pane="topRight"/>
      <selection pane="bottomLeft"/>
      <selection pane="bottomRight" activeCell="A1" sqref="A1"/>
    </sheetView>
  </sheetViews>
  <sheetFormatPr baseColWidth="8" defaultRowHeight="15"/>
  <cols>
    <col width="7" customWidth="1" min="1" max="1"/>
    <col width="16" customWidth="1" min="2" max="2"/>
    <col width="6" customWidth="1" min="3" max="3"/>
    <col width="34" customWidth="1" min="4" max="4"/>
    <col width="60" customWidth="1" min="5" max="5"/>
    <col width="8" customWidth="1" min="6" max="6"/>
    <col width="12" customWidth="1" min="7" max="7"/>
    <col width="44" customWidth="1" min="8" max="8"/>
    <col width="8" customWidth="1" min="9" max="9"/>
  </cols>
  <sheetData>
    <row r="1">
      <c r="A1" s="6" t="inlineStr">
        <is>
          <t>B　15 终稿八维评分（8 项）</t>
        </is>
      </c>
    </row>
    <row r="2" ht="30" customHeight="1">
      <c r="A2" s="7" t="inlineStr">
        <is>
          <t>请先通读终稿阅读版（curriculum.html），再独立打分；本表不提供任何模型的分数或评语。</t>
        </is>
      </c>
    </row>
    <row r="3">
      <c r="A3" s="8" t="inlineStr">
        <is>
          <t>编号</t>
        </is>
      </c>
      <c r="B3" s="8" t="inlineStr">
        <is>
          <t>维度</t>
        </is>
      </c>
      <c r="C3" s="8" t="inlineStr">
        <is>
          <t>权重</t>
        </is>
      </c>
      <c r="D3" s="8" t="inlineStr">
        <is>
          <t>审查范围</t>
        </is>
      </c>
      <c r="E3" s="8" t="inlineStr">
        <is>
          <t>锚点（0 / 2 / 4）</t>
        </is>
      </c>
      <c r="F3" s="8" t="inlineStr">
        <is>
          <t>分数</t>
        </is>
      </c>
      <c r="G3" s="8" t="inlineStr">
        <is>
          <t>是否有重大失败</t>
        </is>
      </c>
      <c r="H3" s="8" t="inlineStr">
        <is>
          <t>判断依据</t>
        </is>
      </c>
      <c r="I3" s="8" t="inlineStr">
        <is>
          <t>把握</t>
        </is>
      </c>
    </row>
    <row r="4">
      <c r="A4" s="9" t="inlineStr">
        <is>
          <t>示例</t>
        </is>
      </c>
      <c r="B4" s="9" t="inlineStr">
        <is>
          <t>某维度</t>
        </is>
      </c>
      <c r="C4" s="9" t="n">
        <v>10</v>
      </c>
      <c r="D4" s="9" t="inlineStr">
        <is>
          <t>（审查范围）</t>
        </is>
      </c>
      <c r="E4" s="9" t="inlineStr">
        <is>
          <t>（锚点）</t>
        </is>
      </c>
      <c r="F4" s="9" t="inlineStr">
        <is>
          <t>3</t>
        </is>
      </c>
      <c r="G4" s="9" t="inlineStr">
        <is>
          <t>否</t>
        </is>
      </c>
      <c r="H4" s="9" t="inlineStr">
        <is>
          <t>应查范围已核完，主要联系有具体证据；距 4 分的差距是……</t>
        </is>
      </c>
      <c r="I4" s="9" t="inlineStr">
        <is>
          <t>中</t>
        </is>
      </c>
    </row>
    <row r="5" ht="45" customHeight="1">
      <c r="A5" s="10" t="inlineStr">
        <is>
          <t>Q1</t>
        </is>
      </c>
      <c r="B5" s="10" t="inlineStr">
        <is>
          <t>目标与达成范围</t>
        </is>
      </c>
      <c r="C5" s="10" t="n">
        <v>15</v>
      </c>
      <c r="D5" s="10" t="inlineStr">
        <is>
          <t>全部内容目标、父项整合要求及数学实践</t>
        </is>
      </c>
      <c r="E5" s="10" t="inlineStr">
        <is>
          <t>0 分：必需目标遗漏或实质误读，无法追查本年的责任范围
2 分：标准有分配，但部分深度、整合要求或数学实践只剩标签
4 分：完整内容、整体要求与实践均有明确年度责任、学习机会和可观察达成表现</t>
        </is>
      </c>
      <c r="F5" s="11" t="n"/>
      <c r="G5" s="11" t="n"/>
      <c r="H5" s="11" t="n"/>
      <c r="I5" s="11" t="n"/>
    </row>
    <row r="6" ht="45" customHeight="1">
      <c r="A6" s="10" t="inlineStr">
        <is>
          <t>Q2</t>
        </is>
      </c>
      <c r="B6" s="10" t="inlineStr">
        <is>
          <t>全年数学主线</t>
        </is>
      </c>
      <c r="C6" s="10" t="n">
        <v>15</v>
      </c>
      <c r="D6" s="10" t="inlineStr">
        <is>
          <t>全部单元及主要数学主线</t>
        </is>
      </c>
      <c r="E6" s="10" t="inlineStr">
        <is>
          <t>0 分：主要内容互不相连或组织理由依赖错误数学事实
2 分：有主题顺序和局部联系，但主要组织理由缺乏支撑
4 分：各领域及前后年级联系具体，单元组合有数学理由，重要取舍与可替代安排清楚</t>
        </is>
      </c>
      <c r="F6" s="11" t="n"/>
      <c r="G6" s="11" t="n"/>
      <c r="H6" s="11" t="n"/>
      <c r="I6" s="11" t="n"/>
    </row>
    <row r="7" ht="45" customHeight="1">
      <c r="A7" s="10" t="inlineStr">
        <is>
          <t>Q3</t>
        </is>
      </c>
      <c r="B7" s="10" t="inlineStr">
        <is>
          <t>单元职责与依赖</t>
        </is>
      </c>
      <c r="C7" s="10" t="n">
        <v>15</v>
      </c>
      <c r="D7" s="10" t="inlineStr">
        <is>
          <t>全部单元与声明或实际需要的课程依赖</t>
        </is>
      </c>
      <c r="E7" s="10" t="inlineStr">
        <is>
          <t>0 分：核心职责互相矛盾或关键依赖无法满足
2 分：写了先备与后续，但首次建立、再访、新用途或依赖强度不清楚
4 分：每单元新增职责明确，依赖所需的具体理解可定位，必要先后与灵活顺序可区分</t>
        </is>
      </c>
      <c r="F7" s="11" t="n"/>
      <c r="G7" s="11" t="n"/>
      <c r="H7" s="11" t="n"/>
      <c r="I7" s="11" t="n"/>
    </row>
    <row r="8" ht="45" customHeight="1">
      <c r="A8" s="10" t="inlineStr">
        <is>
          <t>Q4</t>
        </is>
      </c>
      <c r="B8" s="10" t="inlineStr">
        <is>
          <t>理解、表征与语言进程</t>
        </is>
      </c>
      <c r="C8" s="10" t="n">
        <v>15</v>
      </c>
      <c r="D8" s="10" t="inlineStr">
        <is>
          <t>全部单元的规划进程及高风险跨度</t>
        </is>
      </c>
      <c r="E8" s="10" t="inlineStr">
        <is>
          <t>0 分：只有内容目录，核心理解变化无可辨认的学习经历支撑
2 分：列了关键概念和表征，但学生怎样从已有理解走向目标仍有跳跃
4 分：所有单元有连贯的理解变化和代表学习经历，表征／语言发展各有用途，关键跨度有支持</t>
        </is>
      </c>
      <c r="F8" s="11" t="n"/>
      <c r="G8" s="11" t="n"/>
      <c r="H8" s="11" t="n"/>
      <c r="I8" s="11" t="n"/>
    </row>
    <row r="9" ht="45" customHeight="1">
      <c r="A9" s="10" t="inlineStr">
        <is>
          <t>Q5</t>
        </is>
      </c>
      <c r="B9" s="10" t="inlineStr">
        <is>
          <t>巩固、回访与迁移</t>
        </is>
      </c>
      <c r="C9" s="10" t="n">
        <v>10</v>
      </c>
      <c r="D9" s="10" t="inlineStr">
        <is>
          <t>主要理解的初建、巩固和后续利用</t>
        </is>
      </c>
      <c r="E9" s="10" t="inlineStr">
        <is>
          <t>0 分：主要理解仅出现一次，后续要求却无巩固或使用依据
2 分：有复习口号或少量位置，主要概念的持续发展不完整
4 分：主要理解有清楚的巩固和后续利用安排，回访目的、位置和时间相容，不机械重复</t>
        </is>
      </c>
      <c r="F9" s="11" t="n"/>
      <c r="G9" s="11" t="n"/>
      <c r="H9" s="11" t="n"/>
      <c r="I9" s="11" t="n"/>
    </row>
    <row r="10" ht="45" customHeight="1">
      <c r="A10" s="10" t="inlineStr">
        <is>
          <t>Q6</t>
        </is>
      </c>
      <c r="B10" s="10" t="inlineStr">
        <is>
          <t>评价与教学响应</t>
        </is>
      </c>
      <c r="C10" s="10" t="n">
        <v>15</v>
      </c>
      <c r="D10" s="10" t="inlineStr">
        <is>
          <t>所有规划中的检查／响应及对应目标和学习机会</t>
        </is>
      </c>
      <c r="E10" s="10" t="inlineStr">
        <is>
          <t>0 分：评价要求没有学习机会支撑或不能对应主要目标
2 分：有检查名称或期末目标，但与学习机会、困难解释和后续动作联系不足
4 分：进入／过程／阶段检查职责明确，表现证据对应目标，评价前有学习机会，响应有实际安排</t>
        </is>
      </c>
      <c r="F10" s="11" t="n"/>
      <c r="G10" s="11" t="n"/>
      <c r="H10" s="11" t="n"/>
      <c r="I10" s="11" t="n"/>
    </row>
    <row r="11" ht="45" customHeight="1">
      <c r="A11" s="10" t="inlineStr">
        <is>
          <t>Q7</t>
        </is>
      </c>
      <c r="B11" s="10" t="inlineStr">
        <is>
          <t>时间与资源可行性</t>
        </is>
      </c>
      <c r="C11" s="10" t="n">
        <v>10</v>
      </c>
      <c r="D11" s="10" t="inlineStr">
        <is>
          <t>全年及全部单元，保留时间单位与条件可比性</t>
        </is>
      </c>
      <c r="E11" s="10" t="inlineStr">
        <is>
          <t>0 分：核心安排违反已知时间或资源条件，方案不可执行
2 分：合计成立，单元容量、评价或资源准备仍缺解释
4 分：按自身条件核对全部时间与资源，估计和事实分开，重大不确定性及调整代价明确</t>
        </is>
      </c>
      <c r="F11" s="11" t="n"/>
      <c r="G11" s="11" t="n"/>
      <c r="H11" s="11" t="n"/>
      <c r="I11" s="11" t="n"/>
    </row>
    <row r="12" ht="56" customHeight="1">
      <c r="A12" s="10" t="inlineStr">
        <is>
          <t>Q8</t>
        </is>
      </c>
      <c r="B12" s="10" t="inlineStr">
        <is>
          <t>教师规划可用性</t>
        </is>
      </c>
      <c r="C12" s="10" t="n">
        <v>5</v>
      </c>
      <c r="D12" s="10" t="inlineStr">
        <is>
          <t>固定教师规划问题及双方完整年度阅读入口
教师规划问题：若一个单元缩短，哪些后续安排会受影响，依据在哪里？某项年度目标在哪里首次学习、在哪里巩固、在哪里被评价？机动时间用于什么，何时使用，挪用后会失去什么？</t>
        </is>
      </c>
      <c r="E12" s="10" t="inlineStr">
        <is>
          <t>0 分：无法据材料确定全年教什么及必要安排
2 分：能看出教什么，但难以判断为什么、怎样调整或去哪里查依据
4 分：教师能定位年度目标、节奏、依赖、评价和调整依据；概览与深入材料分层清楚且一致</t>
        </is>
      </c>
      <c r="F12" s="11" t="n"/>
      <c r="G12" s="11" t="n"/>
      <c r="H12" s="11" t="n"/>
      <c r="I12" s="11" t="n"/>
    </row>
  </sheetData>
  <mergeCells count="1">
    <mergeCell ref="A2:I2"/>
  </mergeCells>
  <dataValidations count="3">
    <dataValidation sqref="F5:F12" showDropDown="0" showInputMessage="0" showErrorMessage="0" allowBlank="1" type="list">
      <formula1>"0,1,2,3,4,未定"</formula1>
    </dataValidation>
    <dataValidation sqref="G5:G12" showDropDown="0" showInputMessage="0" showErrorMessage="0" allowBlank="1" type="list">
      <formula1>"是,否"</formula1>
    </dataValidation>
    <dataValidation sqref="I5:I12" showDropDown="0" showInputMessage="0" showErrorMessage="0" allowBlank="1" type="list">
      <formula1>"高,中,低"</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I29"/>
  <sheetViews>
    <sheetView workbookViewId="0">
      <pane xSplit="2" ySplit="3" topLeftCell="C4" activePane="bottomRight" state="frozen"/>
      <selection pane="topRight"/>
      <selection pane="bottomLeft"/>
      <selection pane="bottomRight" activeCell="A1" sqref="A1"/>
    </sheetView>
  </sheetViews>
  <sheetFormatPr baseColWidth="8" defaultRowHeight="15"/>
  <cols>
    <col width="7" customWidth="1" min="1" max="1"/>
    <col width="9" customWidth="1" min="2" max="2"/>
    <col width="24" customWidth="1" min="3" max="3"/>
    <col width="50" customWidth="1" min="4" max="4"/>
    <col width="50" customWidth="1" min="5" max="5"/>
    <col width="12" customWidth="1" min="6" max="6"/>
    <col width="12" customWidth="1" min="7" max="7"/>
    <col width="40" customWidth="1" min="8" max="8"/>
    <col width="8" customWidth="1" min="9" max="9"/>
  </cols>
  <sheetData>
    <row r="1">
      <c r="A1" s="6" t="inlineStr">
        <is>
          <t>C　发现是否成立（25 项）</t>
        </is>
      </c>
    </row>
    <row r="2" ht="30" customHeight="1">
      <c r="A2" s="7" t="inlineStr">
        <is>
          <t>每项是某次模型评阅报告的一条发现（不标明来自哪个模型，表达严重度的措辞已隐去）。请对照引文和终稿阅读版，判断它是否成立；若成立，给出严重度。H2 开头的样本是终稿的变体，引文取自该样本本身，与终稿不同之处以引文为准。</t>
        </is>
      </c>
    </row>
    <row r="3">
      <c r="A3" s="8" t="inlineStr">
        <is>
          <t>编号</t>
        </is>
      </c>
      <c r="B3" s="8" t="inlineStr">
        <is>
          <t>样本</t>
        </is>
      </c>
      <c r="C3" s="8" t="inlineStr">
        <is>
          <t>位置</t>
        </is>
      </c>
      <c r="D3" s="8" t="inlineStr">
        <is>
          <t>原文引文</t>
        </is>
      </c>
      <c r="E3" s="8" t="inlineStr">
        <is>
          <t>发现陈述</t>
        </is>
      </c>
      <c r="F3" s="8" t="inlineStr">
        <is>
          <t>是否成立</t>
        </is>
      </c>
      <c r="G3" s="8" t="inlineStr">
        <is>
          <t>若成立，严重度</t>
        </is>
      </c>
      <c r="H3" s="8" t="inlineStr">
        <is>
          <t>判断依据</t>
        </is>
      </c>
      <c r="I3" s="8" t="inlineStr">
        <is>
          <t>把握</t>
        </is>
      </c>
    </row>
    <row r="4">
      <c r="A4" s="9" t="inlineStr">
        <is>
          <t>示例</t>
        </is>
      </c>
      <c r="B4" s="9" t="inlineStr">
        <is>
          <t>终稿</t>
        </is>
      </c>
      <c r="C4" s="9" t="inlineStr">
        <is>
          <t>单元 X · 叙述</t>
        </is>
      </c>
      <c r="D4" s="9" t="inlineStr">
        <is>
          <t>「引文」</t>
        </is>
      </c>
      <c r="E4" s="9" t="inlineStr">
        <is>
          <t>某项安排缺少……</t>
        </is>
      </c>
      <c r="F4" s="9" t="inlineStr">
        <is>
          <t>部分成立</t>
        </is>
      </c>
      <c r="G4" s="9" t="inlineStr">
        <is>
          <t>局部问题</t>
        </is>
      </c>
      <c r="H4" s="9" t="inlineStr">
        <is>
          <t>引文属实，但……不影响年度决定</t>
        </is>
      </c>
      <c r="I4" s="9" t="inlineStr">
        <is>
          <t>高</t>
        </is>
      </c>
    </row>
    <row r="5" ht="70" customHeight="1">
      <c r="A5" s="10" t="inlineStr">
        <is>
          <t>C01</t>
        </is>
      </c>
      <c r="B5" s="10" t="inlineStr">
        <is>
          <t>H2-10</t>
        </is>
      </c>
      <c r="C5" s="10" t="inlineStr">
        <is>
          <t>目标 8.NS.A.1 · unit_5_real_numbers_pythagoras:teach · 达成证据；单元 unit_2_linear_eq · 完成表现</t>
        </is>
      </c>
      <c r="D5" s="10" t="inlineStr">
        <is>
          <t>「设定 $x = 0.777\dots$ 通过 $10x - x$ 消去循环节转化为分数的逆向代数转化步骤」
「能熟练求解一元一次方程并判定唯一解、无解或无穷多解」</t>
        </is>
      </c>
      <c r="E5" s="10" t="inlineStr">
        <is>
          <t>Unit 5 的 8.NS.A.1 用方程变形（设定 x=0.777…，10x−x）把循环小数化为分数，实际依赖 Unit 2 的 8.EE.C.7，但 Unit 5 的 prerequisite_units 只列 unit_1_geom_transform，未声明这一依赖。
（依据的要求：声明的依赖与实际需要的理解是否一致；未声明却实际需要的依赖也要指出。）</t>
        </is>
      </c>
      <c r="F5" s="11" t="n"/>
      <c r="G5" s="11" t="n"/>
      <c r="H5" s="11" t="n"/>
      <c r="I5" s="11" t="n"/>
    </row>
    <row r="6" ht="45" customHeight="1">
      <c r="A6" s="10" t="inlineStr">
        <is>
          <t>C02</t>
        </is>
      </c>
      <c r="B6" s="10" t="inlineStr">
        <is>
          <t>H2-04</t>
        </is>
      </c>
      <c r="C6" s="10" t="inlineStr">
        <is>
          <t>机动计划</t>
        </is>
      </c>
      <c r="D6" s="10" t="inlineStr">
        <is>
          <t>「全年设置 20 节机动课时（Reserve Lessons），作为依据诊断实施课内干预与针对性巩固的资源，不计入各单元常规教学课时」</t>
        </is>
      </c>
      <c r="E6" s="10" t="inlineStr">
        <is>
          <t>方案详尽规定了机动课时的正向投放结构，但缺少对常规课时超期挪用机动时间可能导致的系统性损失与风险底线的显式阐述。
（依据的要求：明确说明机动时间挪用后会失去什么。）</t>
        </is>
      </c>
      <c r="F6" s="11" t="n"/>
      <c r="G6" s="11" t="n"/>
      <c r="H6" s="11" t="n"/>
      <c r="I6" s="11" t="n"/>
    </row>
    <row r="7" ht="45" customHeight="1">
      <c r="A7" s="10" t="inlineStr">
        <is>
          <t>C03</t>
        </is>
      </c>
      <c r="B7" s="10" t="inlineStr">
        <is>
          <t>H2-04</t>
        </is>
      </c>
      <c r="C7" s="10" t="inlineStr">
        <is>
          <t>交接说明</t>
        </is>
      </c>
      <c r="D7" s="10" t="inlineStr">
        <is>
          <t>「课时调配弹性：本单元分配 22 课时。若前测显示学生在有理数差商运算或坐标系描点上存在较多失误，教师可依据诊断在单元初期投放 1 节全年机动课时……进行针对性补偿。」</t>
        </is>
      </c>
      <c r="E7" s="10" t="inlineStr">
        <is>
          <t>对于非核心焦点单元，若面临校历压缩需临时缩短，缺少单元内各知识点删减优先级或保底核心内容的明确指引。
（依据的要求：教师规划应支持教师判断若单元缩短如何调整及后续影响依据。）</t>
        </is>
      </c>
      <c r="F7" s="11" t="n"/>
      <c r="G7" s="11" t="n"/>
      <c r="H7" s="11" t="n"/>
      <c r="I7" s="11" t="n"/>
    </row>
    <row r="8" ht="56" customHeight="1">
      <c r="A8" s="10" t="inlineStr">
        <is>
          <t>C04</t>
        </is>
      </c>
      <c r="B8" s="10" t="inlineStr">
        <is>
          <t>H2-01</t>
        </is>
      </c>
      <c r="C8" s="10" t="inlineStr">
        <is>
          <t>单元 unit_2_linear_eq · 先备单元；交接说明</t>
        </is>
      </c>
      <c r="D8" s="10" t="inlineStr">
        <is>
          <t>「unit_1_geom_transform」
「本单元分配 22 课时。若前测显示学生在有理数差商运算或坐标系描点上存在较多失误，教师可依据诊断在单元初期投放 1 节全年机动课时（reserve lessons）进行针对性补偿。」</t>
        </is>
      </c>
      <c r="E8" s="10" t="inlineStr">
        <is>
          <t>候选虽标明了单元间先备依赖（prerequisite_units），但未提供当单元课时必须被动缩短时，单元内核心内容与辅助内容的剪裁保护优先级指引。
（依据的要求：教师应能明确判断单元缩短时受影响的后续安排及单元内剪裁依据。）</t>
        </is>
      </c>
      <c r="F8" s="11" t="n"/>
      <c r="G8" s="11" t="n"/>
      <c r="H8" s="11" t="n"/>
      <c r="I8" s="11" t="n"/>
    </row>
    <row r="9" ht="45" customHeight="1">
      <c r="A9" s="10" t="inlineStr">
        <is>
          <t>C05</t>
        </is>
      </c>
      <c r="B9" s="10" t="inlineStr">
        <is>
          <t>H2-09</t>
        </is>
      </c>
      <c r="C9" s="10" t="inlineStr">
        <is>
          <t>机动计划</t>
        </is>
      </c>
      <c r="D9" s="10" t="inlineStr">
        <is>
          <t>「全年设置 20 节机动课时（Reserve Lessons），作为依据诊断实施课内干预与针对性巩固的资源，不计入各单元常规教学课时」</t>
        </is>
      </c>
      <c r="E9" s="10" t="inlineStr">
        <is>
          <t>机动时间方案详细说明了投放时机与用途，但未明确挪用后的损失后果与削减优先级。
（依据的要求：教师能够清晰判断机动时间挪用后会失去什么及防护底线。）</t>
        </is>
      </c>
      <c r="F9" s="11" t="n"/>
      <c r="G9" s="11" t="n"/>
      <c r="H9" s="11" t="n"/>
      <c r="I9" s="11" t="n"/>
    </row>
    <row r="10" ht="70" customHeight="1">
      <c r="A10" s="10" t="inlineStr">
        <is>
          <t>C06</t>
        </is>
      </c>
      <c r="B10" s="10" t="inlineStr">
        <is>
          <t>H2-07</t>
        </is>
      </c>
      <c r="C10" s="10" t="inlineStr">
        <is>
          <t>数学实践 MP5 · 学生行为；数学实践 MP5 · 达成证据</t>
        </is>
      </c>
      <c r="D10" s="10" t="inlineStr">
        <is>
          <t>「在解决几何变换、函数图象绘制和科学记数法运算时」
「观察学生在探究坐标距离、函数图象和统计散点图时」</t>
        </is>
      </c>
      <c r="E10" s="10" t="inlineStr">
        <is>
          <t>MP5 的 student_actions 与 evidence 都把“函数图象绘制”和“统计散点图”列为工具选择情境，但 unit_ids 只登记 unit_1/5/6，未含 unit_3、unit_8，实践年度责任定位与正文描述不一致。
（依据的要求：数学实践须有明确的年度责任与学习机会（Q1 复核范围含数学实践，4 分锚点要求“实践均有明确年度责任”）。）</t>
        </is>
      </c>
      <c r="F10" s="11" t="n"/>
      <c r="G10" s="11" t="n"/>
      <c r="H10" s="11" t="n"/>
      <c r="I10" s="11" t="n"/>
    </row>
    <row r="11" ht="70" customHeight="1">
      <c r="A11" s="10" t="inlineStr">
        <is>
          <t>C07</t>
        </is>
      </c>
      <c r="B11" s="10" t="inlineStr">
        <is>
          <t>H2-06</t>
        </is>
      </c>
      <c r="C11" s="10" t="inlineStr">
        <is>
          <t>交接说明；设计推断（/design_inferences/0）</t>
        </is>
      </c>
      <c r="D11" s="10" t="inlineStr">
        <is>
          <t>「允许单项练习任务承担明确单一职责（如纯图象读率、纯表格归纳或由情境列代数式），不强求每个函数例子都机械捆绑四维表征同屏呈现……」
「虽然标准图将 8.EE.B.6（相似三角形解释斜率）与 8.G.A.5（相似判定AA）列为关联，但教学设计推断：将几何变换与相似（Unit 1）置于线性方程与斜率（Unit 2）之前……」</t>
        </is>
      </c>
      <c r="E11" s="10" t="inlineStr">
        <is>
          <t>除焦点单元 Unit 3 提供了表征拆分与机动课时调配弹性外，其余单元缺少在课时被压缩时的明确删减与调整阶梯指导。
（依据的要求：教师应能明确判断单元缩短时的后续影响及单元内部的具体调整依据。）</t>
        </is>
      </c>
      <c r="F11" s="11" t="n"/>
      <c r="G11" s="11" t="n"/>
      <c r="H11" s="11" t="n"/>
      <c r="I11" s="11" t="n"/>
    </row>
    <row r="12" ht="45" customHeight="1">
      <c r="A12" s="10" t="inlineStr">
        <is>
          <t>C08</t>
        </is>
      </c>
      <c r="B12" s="10" t="inlineStr">
        <is>
          <t>终稿</t>
        </is>
      </c>
      <c r="C12" s="10" t="inlineStr">
        <is>
          <t>机动计划；单元 unit_7_volume_3d · 完成表现</t>
        </is>
      </c>
      <c r="D12" s="10" t="inlineStr">
        <is>
          <t>「用于全年初中核心概念综合梳理」
「理解圆柱、圆锥与球体的体积公式推导渊源」</t>
        </is>
      </c>
      <c r="E12" s="10" t="inlineStr">
        <is>
          <t>Unit 7 的体积主要理解（8.G.C.9）在后续单元没有任何再访或再利用安排，只在 reserve_plan 的学年末综合梳理中被泛化覆盖。
（依据的要求：主要理解有清楚的巩固和后续利用安排。）</t>
        </is>
      </c>
      <c r="F12" s="11" t="n"/>
      <c r="G12" s="11" t="n"/>
      <c r="H12" s="11" t="n"/>
      <c r="I12" s="11" t="n"/>
    </row>
    <row r="13" ht="45" customHeight="1">
      <c r="A13" s="10" t="inlineStr">
        <is>
          <t>C09</t>
        </is>
      </c>
      <c r="B13" s="10" t="inlineStr">
        <is>
          <t>H2-08</t>
        </is>
      </c>
      <c r="C13" s="10" t="inlineStr">
        <is>
          <t>单元 unit_7_volume_3d · 评价安排</t>
        </is>
      </c>
      <c r="D13" s="10" t="inlineStr">
        <is>
          <t>「课内随堂练习（利用普通计算器）评估多步公式代入与根号近似计算」</t>
        </is>
      </c>
      <c r="E13" s="10" t="inlineStr">
        <is>
          <t>unit_7 的叙述与评价涉及工具使用与建模（普通计算器多步代入、由体积反解半径），但 8 个实践的 unit_ids 无一包含 unit_7，实践年度责任在该单元落空。
（依据的要求：Q1 要求数学实践在全范围有明确年度责任与学习机会。）</t>
        </is>
      </c>
      <c r="F13" s="11" t="n"/>
      <c r="G13" s="11" t="n"/>
      <c r="H13" s="11" t="n"/>
      <c r="I13" s="11" t="n"/>
    </row>
    <row r="14" ht="84" customHeight="1">
      <c r="A14" s="10" t="inlineStr">
        <is>
          <t>C10</t>
        </is>
      </c>
      <c r="B14" s="10" t="inlineStr">
        <is>
          <t>H2-06</t>
        </is>
      </c>
      <c r="C14" s="10" t="inlineStr">
        <is>
          <t>目标 8.EE.A.1 · unit_6_exponents_sci_notation:apply · 学习机会；目标 8.EE.A.1 · unit_6_exponents_sci_notation:apply · 达成证据</t>
        </is>
      </c>
      <c r="D14" s="10" t="inlineStr">
        <is>
          <t>「在科学记数法乘除混合运算中复习并熟练运用负指数幂运算法则」
「在期末与全年中期诊断中，核查学生能否在科学记数法运算中无误应用整数指数运算法则」</t>
        </is>
      </c>
      <c r="E14" s="10" t="inlineStr">
        <is>
          <t>Unit 6 的整数指数幂与科学记数法理解只在单元内部安排一次 apply，后续单元无任何使用位置，掌握延续仅由“期末与全年中期诊断”口头一项承担。
（依据的要求：Q5 要求主要理解有清楚的巩固和后续利用安排，回访目的、位置和时间相容。）</t>
        </is>
      </c>
      <c r="F14" s="11" t="n"/>
      <c r="G14" s="11" t="n"/>
      <c r="H14" s="11" t="n"/>
      <c r="I14" s="11" t="n"/>
    </row>
    <row r="15" ht="56" customHeight="1">
      <c r="A15" s="10" t="inlineStr">
        <is>
          <t>C11</t>
        </is>
      </c>
      <c r="B15" s="10" t="inlineStr">
        <is>
          <t>H2-11</t>
        </is>
      </c>
      <c r="C15" s="10" t="inlineStr">
        <is>
          <t>机动计划</t>
        </is>
      </c>
      <c r="D15" s="10" t="inlineStr">
        <is>
          <t>「全年设置 20 节机动课时（Reserve Lessons），作为依据诊断实施课内干预与针对性巩固的资源，不计入各单元常规教学课时」
「第一学期期末（Unit 4 结束时）投放 3 节，用于函数与方程组的综合大作业诊断与复习」</t>
        </is>
      </c>
      <c r="E15" s="10" t="inlineStr">
        <is>
          <t>reserve_plan 列出机动课时的用途与时点，但未说明挪用某类机动课时会失去哪些干预、巩固或衔接工作，教师无法据材料判断挪用代价。
（依据的要求：固定教师问题 tq-reserve 要求说明机动时间挪用后会失去什么。）</t>
        </is>
      </c>
      <c r="F15" s="11" t="n"/>
      <c r="G15" s="11" t="n"/>
      <c r="H15" s="11" t="n"/>
      <c r="I15" s="11" t="n"/>
    </row>
    <row r="16" ht="56" customHeight="1">
      <c r="A16" s="10" t="inlineStr">
        <is>
          <t>C12</t>
        </is>
      </c>
      <c r="B16" s="10" t="inlineStr">
        <is>
          <t>终稿</t>
        </is>
      </c>
      <c r="C16" s="10" t="inlineStr">
        <is>
          <t>单元 unit_2_linear_eq · 叙述</t>
        </is>
      </c>
      <c r="D16" s="10" t="inlineStr">
        <is>
          <t>「同时，系统深入攻坚一元一次方程，利用天平模型与代数恒等变换，透彻剖析一元一次方程的三种解的情况」</t>
        </is>
      </c>
      <c r="E16" s="10" t="inlineStr">
        <is>
          <t>单元把‘相似三角形→斜率恒定性/直线方程’与‘一元一次方程求解’两簇内容以‘同时’并列，规划内没有写出两簇之间学生理解如何衔接。
（依据的要求：Q4 要求单元有连贯的理解变化，学生从已有理解走向目标不应有未支持的跳跃。）</t>
        </is>
      </c>
      <c r="F16" s="11" t="n"/>
      <c r="G16" s="11" t="n"/>
      <c r="H16" s="11" t="n"/>
      <c r="I16" s="11" t="n"/>
    </row>
    <row r="17" ht="56" customHeight="1">
      <c r="A17" s="10" t="inlineStr">
        <is>
          <t>C13</t>
        </is>
      </c>
      <c r="B17" s="10" t="inlineStr">
        <is>
          <t>H2-12</t>
        </is>
      </c>
      <c r="C17" s="10" t="inlineStr">
        <is>
          <t>目标 8.G.C.9 · unit_7_volume_3d:teach · 学习机会；机动计划</t>
        </is>
      </c>
      <c r="D17" s="10" t="inlineStr">
        <is>
          <t>「通过教师投影动态图解演示与黑白打印截面分解图，理解圆柱、圆锥与球体的体积公式几何推导渊源，运用公式求解实际问题中的体积与容积。」
「第二学期期末（Unit 8 结束时）投放 4 节，用于全年初中核心概念综合梳理与向九年级代数高阶过渡。」</t>
        </is>
      </c>
      <c r="E17" s="10" t="inlineStr">
        <is>
          <t>8.G.C.9（圆柱、圆锥、球体体积）只有 unit_7 的 teach 分配，全年没有任何 apply/revisit 分配，也没有任何后续单元或专门的复习位置使用这一理解。
（依据的要求：Q5 4 分锚点“主要理解有清楚的巩固和后续利用安排”；候选 narrative 亦承诺全课程学习在课内闭环，主要理解的持续发展需有位置。）</t>
        </is>
      </c>
      <c r="F17" s="11" t="n"/>
      <c r="G17" s="11" t="n"/>
      <c r="H17" s="11" t="n"/>
      <c r="I17" s="11" t="n"/>
    </row>
    <row r="18" ht="45" customHeight="1">
      <c r="A18" s="10" t="inlineStr">
        <is>
          <t>C14</t>
        </is>
      </c>
      <c r="B18" s="10" t="inlineStr">
        <is>
          <t>H2-02</t>
        </is>
      </c>
      <c r="C18" s="10" t="inlineStr">
        <is>
          <t>设计推断（/design_inferences/0）</t>
        </is>
      </c>
      <c r="D18" s="10" t="inlineStr">
        <is>
          <t>「虽然标准图将 8.EE.B.6（相似三角形解释斜率）与 8.G.A.5（相似判定AA）列为关联，但教学设计推断：将几何变换与相似（Unit 1）置于线性方程与斜率（Unit 2）之前」</t>
        </is>
      </c>
      <c r="E18" s="10" t="inlineStr">
        <is>
          <t>候选规划对各单元主线提供了充分的设计推断与数学理由，但未系统阐述可替代的单元组合或编排方案。
（依据的要求：4分锚点要求重要取舍与可替代安排清楚。）</t>
        </is>
      </c>
      <c r="F18" s="11" t="n"/>
      <c r="G18" s="11" t="n"/>
      <c r="H18" s="11" t="n"/>
      <c r="I18" s="11" t="n"/>
    </row>
    <row r="19" ht="70" customHeight="1">
      <c r="A19" s="10" t="inlineStr">
        <is>
          <t>C15</t>
        </is>
      </c>
      <c r="B19" s="10" t="inlineStr">
        <is>
          <t>H2-08</t>
        </is>
      </c>
      <c r="C19" s="10" t="inlineStr">
        <is>
          <t>单元 unit_7_volume_3d · 叙述；目标 8.G.C.9 · unit_7_volume_3d:teach · 达成证据</t>
        </is>
      </c>
      <c r="D19" s="10" t="inlineStr">
        <is>
          <t>「通过黑白打印几何图解、等底等高圆柱与内接圆锥的截面与体积关系分析、展开图模型以及代数推导」
「在课内解决物体（圆柱形水桶、圆锥形料斗、球形容器）体积计算中」</t>
        </is>
      </c>
      <c r="E19" s="10" t="inlineStr">
        <is>
          <t>Unit 7 的‘展开图模型’以及‘圆柱形水桶、圆锥形料斗、球形容器’若按实物模型理解，需要剪刀/胶带或实体容器，conditions 资源只有纸笔、直尺、方格纸、黑白打印、教师投影和普通计算器，正文未说明替代做法。
（依据的要求：资源对象须与 conditions 资源清单逐项对照；核心活动若依赖条件外物品且无替代做法即为缺口。）</t>
        </is>
      </c>
      <c r="F19" s="11" t="n"/>
      <c r="G19" s="11" t="n"/>
      <c r="H19" s="11" t="n"/>
      <c r="I19" s="11" t="n"/>
    </row>
    <row r="20" ht="45" customHeight="1">
      <c r="A20" s="10" t="inlineStr">
        <is>
          <t>C16</t>
        </is>
      </c>
      <c r="B20" s="10" t="inlineStr">
        <is>
          <t>终稿</t>
        </is>
      </c>
      <c r="C20" s="10" t="inlineStr">
        <is>
          <t>设计推断（/design_inferences/2）</t>
        </is>
      </c>
      <c r="D20" s="10" t="inlineStr">
        <is>
          <t>「8.NS.A（无理数与逼近）与 8.EE.A.2（根号与平方根）同 8.G.B（勾股定理）整合于 Unit 5；这是因为无理数（如 $\sqrt{2}$）在直角三角形斜边长度测量中有最直观的几何现实存在性」</t>
        </is>
      </c>
      <c r="E20" s="10" t="inlineStr">
        <is>
          <t>规划详细阐述了当前选定主线的逻辑合理性，但缺少对可替代编排路径（如代数先行或独立排布指数幂）的取舍论证与切换说明。
（依据的要求：4分锚点要求“重要取舍与可替代安排清楚”。）</t>
        </is>
      </c>
      <c r="F20" s="11" t="n"/>
      <c r="G20" s="11" t="n"/>
      <c r="H20" s="11" t="n"/>
      <c r="I20" s="11" t="n"/>
    </row>
    <row r="21" ht="70" customHeight="1">
      <c r="A21" s="10" t="inlineStr">
        <is>
          <t>C17</t>
        </is>
      </c>
      <c r="B21" s="10" t="inlineStr">
        <is>
          <t>H2-08</t>
        </is>
      </c>
      <c r="C21" s="10" t="inlineStr">
        <is>
          <t>数学实践 MP5 · 达成证据；数学实践 MP5 · 学生行为</t>
        </is>
      </c>
      <c r="D21" s="10" t="inlineStr">
        <is>
          <t>「观察学生在探究坐标距离、函数图象和统计散点图时，能否自主根据需求选用方格纸、直尺或普通计算器」
「在解决几何变换、函数图象绘制和科学记数法运算时，学生能合理决定何时使用方格纸作图」</t>
        </is>
      </c>
      <c r="E21" s="10" t="inlineStr">
        <is>
          <t>MP5 的证据与 student_actions 描述‘函数图象’‘统计散点图’情境，但其 unit_ids 仅列 unit_1/unit_5/unit_6，未含 Unit 3（函数）与 Unit 8（统计），实践与单元的对应不一致。
（依据的要求：Q8 的 4 分锚点要求‘概览与深入材料分层清楚且一致’，含实践—单元的年度阅读入口一致。）</t>
        </is>
      </c>
      <c r="F21" s="11" t="n"/>
      <c r="G21" s="11" t="n"/>
      <c r="H21" s="11" t="n"/>
      <c r="I21" s="11" t="n"/>
    </row>
    <row r="22" ht="56" customHeight="1">
      <c r="A22" s="10" t="inlineStr">
        <is>
          <t>C18</t>
        </is>
      </c>
      <c r="B22" s="10" t="inlineStr">
        <is>
          <t>H2-13</t>
        </is>
      </c>
      <c r="C22" s="10" t="inlineStr">
        <is>
          <t>交接说明</t>
        </is>
      </c>
      <c r="D22" s="10" t="inlineStr">
        <is>
          <t>「课时调配弹性：本单元分配 22 课时。若前测显示学生在有理数差商运算或坐标系描点上存在较多失误，教师可依据诊断在单元初期投放 1 节全年机动课时（reserve lessons）进行针对性补偿。」</t>
        </is>
      </c>
      <c r="E22" s="10" t="inlineStr">
        <is>
          <t>候选方案虽然指明了各单元的前备依赖链条，但缺少当具体单元因故必须压缩时各单元内部具体的剪裁优先级与不可删减核心预案。
（依据的要求：若一个单元缩短，哪些后续安排会受影响，依据在哪里？需有清晰的调整判断依据。）</t>
        </is>
      </c>
      <c r="F22" s="11" t="n"/>
      <c r="G22" s="11" t="n"/>
      <c r="H22" s="11" t="n"/>
      <c r="I22" s="11" t="n"/>
    </row>
    <row r="23" ht="45" customHeight="1">
      <c r="A23" s="10" t="inlineStr">
        <is>
          <t>C19</t>
        </is>
      </c>
      <c r="B23" s="10" t="inlineStr">
        <is>
          <t>H2-03</t>
        </is>
      </c>
      <c r="C23" s="10" t="inlineStr">
        <is>
          <t>机动计划</t>
        </is>
      </c>
      <c r="D23" s="10" t="inlineStr">
        <is>
          <t>「全年设置 20 节机动课时（Reserve Lessons）」</t>
        </is>
      </c>
      <c r="E23" s="10" t="inlineStr">
        <is>
          <t>20 节机动课时在 reserve_plan 中已被全部预先指定（3+8+9=20），未留出未分配的缓冲余量，且未说明调整代价，使'重大不确定性及调整代价明确'只部分成立。
（依据的要求：Q7 的 4 分锚点要求估计与事实分开、重大不确定性与调整代价明确。）</t>
        </is>
      </c>
      <c r="F23" s="11" t="n"/>
      <c r="G23" s="11" t="n"/>
      <c r="H23" s="11" t="n"/>
      <c r="I23" s="11" t="n"/>
    </row>
    <row r="24" ht="45" customHeight="1">
      <c r="A24" s="10" t="inlineStr">
        <is>
          <t>C20</t>
        </is>
      </c>
      <c r="B24" s="10" t="inlineStr">
        <is>
          <t>H2-13</t>
        </is>
      </c>
      <c r="C24" s="10" t="inlineStr">
        <is>
          <t>机动计划</t>
        </is>
      </c>
      <c r="D24" s="10" t="inlineStr">
        <is>
          <t>「作为依据诊断实施课内干预与针对性巩固的资源」</t>
        </is>
      </c>
      <c r="E24" s="10" t="inlineStr">
        <is>
          <t>reserve_plan 说明了机动课时的用途与投放时点，但未显式说明挪用某块机动后会失去什么。
（依据的要求：Q8：教师应能根据材料判断机动时间用于什么、何时使用，以及挪用后的后果。）</t>
        </is>
      </c>
      <c r="F24" s="11" t="n"/>
      <c r="G24" s="11" t="n"/>
      <c r="H24" s="11" t="n"/>
      <c r="I24" s="11" t="n"/>
    </row>
    <row r="25" ht="45" customHeight="1">
      <c r="A25" s="10" t="inlineStr">
        <is>
          <t>C21</t>
        </is>
      </c>
      <c r="B25" s="10" t="inlineStr">
        <is>
          <t>H2-08</t>
        </is>
      </c>
      <c r="C25" s="10" t="inlineStr">
        <is>
          <t>数学实践 MP6 · 学生行为</t>
        </is>
      </c>
      <c r="D25" s="10" t="inlineStr">
        <is>
          <t>「学生准确使用数学术语（如‘位似中心’、‘变化率’、‘纵截距’、‘无理数’）」</t>
        </is>
      </c>
      <c r="E25" s="10" t="inlineStr">
        <is>
          <t>MP6 的 unit_ids 不含 unit_1，但 student_actions 以“位似中心”作为术语示例，该内容属 unit_1。
（依据的要求：Q1 要求实践责任与学习机会一致且可观察。）</t>
        </is>
      </c>
      <c r="F25" s="11" t="n"/>
      <c r="G25" s="11" t="n"/>
      <c r="H25" s="11" t="n"/>
      <c r="I25" s="11" t="n"/>
    </row>
    <row r="26" ht="56" customHeight="1">
      <c r="A26" s="10" t="inlineStr">
        <is>
          <t>C22</t>
        </is>
      </c>
      <c r="B26" s="10" t="inlineStr">
        <is>
          <t>终稿</t>
        </is>
      </c>
      <c r="C26" s="10" t="inlineStr">
        <is>
          <t>局限（/limitations/1）；交接说明</t>
        </is>
      </c>
      <c r="D26" s="10" t="inlineStr">
        <is>
          <t>「各单元设置的课时分配属于设计基准，须由任课教师在各单元前测后依据实际表现动态调手机动课时。」
「允许单项练习任务承担明确单一职责（如纯图象读率、纯表格归纳或由情境列代数式），不强求每个函数例子都机械捆绑四维表征同屏呈现」</t>
        </is>
      </c>
      <c r="E26" s="10" t="inlineStr">
        <is>
          <t>方案提供了完整的有向依赖网络支持判断单元压缩的跨单元波及范围，但除核心单元 Unit 3 外，其余单元缺乏缩短时的具体内部裁剪优先级指引。
（依据的要求：若一个单元缩短，哪些后续安排会受影响，依据在哪里？）</t>
        </is>
      </c>
      <c r="F26" s="11" t="n"/>
      <c r="G26" s="11" t="n"/>
      <c r="H26" s="11" t="n"/>
      <c r="I26" s="11" t="n"/>
    </row>
    <row r="27" ht="56" customHeight="1">
      <c r="A27" s="10" t="inlineStr">
        <is>
          <t>C23</t>
        </is>
      </c>
      <c r="B27" s="10" t="inlineStr">
        <is>
          <t>终稿</t>
        </is>
      </c>
      <c r="C27" s="10" t="inlineStr">
        <is>
          <t>单元 unit_5_real_numbers_pythagoras · 先备单元；设计推断（/design_inferences/2）</t>
        </is>
      </c>
      <c r="D27" s="10" t="inlineStr">
        <is>
          <t>「unit_1_geom_transform」
「8.NS.A（无理数与逼近）与 8.EE.A.2（根号与平方根）同 8.G.B（勾股定理）整合于 Unit 5」</t>
        </is>
      </c>
      <c r="E27" s="10" t="inlineStr">
        <is>
          <t>unit_5 声明 unit_1 为唯一先备单元，但候选未给出几何变换/相似与实数、开方、勾股之间的任何依赖联系，entry 也不需要 unit_1 内容。
（依据的要求：候选应说明每项声明依赖与实际需要的理解一致（Q2 判据：主线的单元组合与前后联系要有数学理由）。）</t>
        </is>
      </c>
      <c r="F27" s="11" t="n"/>
      <c r="G27" s="11" t="n"/>
      <c r="H27" s="11" t="n"/>
      <c r="I27" s="11" t="n"/>
    </row>
    <row r="28" ht="56" customHeight="1">
      <c r="A28" s="10" t="inlineStr">
        <is>
          <t>C24</t>
        </is>
      </c>
      <c r="B28" s="10" t="inlineStr">
        <is>
          <t>H2-09</t>
        </is>
      </c>
      <c r="C28" s="10" t="inlineStr">
        <is>
          <t>单元 unit_2_linear_eq · 先备单元；单元 unit_4_linear_systems · 先备单元</t>
        </is>
      </c>
      <c r="D28" s="10" t="inlineStr">
        <is>
          <t>「unit_1_geom_transform」
「unit_3_linear_functions」</t>
        </is>
      </c>
      <c r="E28" s="10" t="inlineStr">
        <is>
          <t>正文虽标注了单元间的前置依赖，但未提供全局性的单元压缩策略或保护核心/可删减内容的显式裁剪指引。
（依据的要求：若一个单元缩短，哪些后续安排会受影响，依据在哪里？教师应能明确查阅调整依据。）</t>
        </is>
      </c>
      <c r="F28" s="11" t="n"/>
      <c r="G28" s="11" t="n"/>
      <c r="H28" s="11" t="n"/>
      <c r="I28" s="11" t="n"/>
    </row>
    <row r="29" ht="45" customHeight="1">
      <c r="A29" s="10" t="inlineStr">
        <is>
          <t>C25</t>
        </is>
      </c>
      <c r="B29" s="10" t="inlineStr">
        <is>
          <t>H2-13</t>
        </is>
      </c>
      <c r="C29" s="10" t="inlineStr">
        <is>
          <t>数学实践 MP5 · 达成证据</t>
        </is>
      </c>
      <c r="D29" s="10" t="inlineStr">
        <is>
          <t>「观察学生在探究坐标距离、函数图象和统计散点图时」</t>
        </is>
      </c>
      <c r="E29" s="10" t="inlineStr">
        <is>
          <t>MP5 声明的 unit_ids 为 unit_1/5/6，但其 evidence 描述‘函数图象和统计散点图’活动（属 unit_3、unit_8），实践范围与证据前后不一致。
（依据的要求：Q1 要求实践的年度责任与可观察证据一致可查。）</t>
        </is>
      </c>
      <c r="F29" s="11" t="n"/>
      <c r="G29" s="11" t="n"/>
      <c r="H29" s="11" t="n"/>
      <c r="I29" s="11" t="n"/>
    </row>
  </sheetData>
  <mergeCells count="1">
    <mergeCell ref="A2:I2"/>
  </mergeCells>
  <dataValidations count="3">
    <dataValidation sqref="F5:F29" showDropDown="0" showInputMessage="0" showErrorMessage="0" allowBlank="1" type="list">
      <formula1>"成立,部分成立,不成立"</formula1>
    </dataValidation>
    <dataValidation sqref="G5:G29" showDropDown="0" showInputMessage="0" showErrorMessage="0" allowBlank="1" type="list">
      <formula1>"重大失败,关键缺口,局部问题"</formula1>
    </dataValidation>
    <dataValidation sqref="I5:I29" showDropDown="0" showInputMessage="0" showErrorMessage="0" allowBlank="1" type="list">
      <formula1>"高,中,低"</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2026-09-17T09:26:01Z</dcterms:created>
  <dcterms:modified xsi:type="dcterms:W3CDTF">2026-09-17T09:26:01Z</dcterms:modified>
</cp:coreProperties>
</file>